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2526FA03-2B23-45FA-BEF3-FCEA16DB2CA4}" xr6:coauthVersionLast="47" xr6:coauthVersionMax="47" xr10:uidLastSave="{00000000-0000-0000-0000-000000000000}"/>
  <bookViews>
    <workbookView xWindow="-120" yWindow="-120" windowWidth="20730" windowHeight="11040" activeTab="3" xr2:uid="{8463EC7E-D018-4619-AC11-244903797D1C}"/>
  </bookViews>
  <sheets>
    <sheet name="Sales Trend" sheetId="1" r:id="rId1"/>
    <sheet name="Order Status" sheetId="2" r:id="rId2"/>
    <sheet name="Referral Source" sheetId="3" r:id="rId3"/>
    <sheet name="Product" sheetId="4" r:id="rId4"/>
    <sheet name="Payment Method" sheetId="5" r:id="rId5"/>
    <sheet name="Total Sales" sheetId="6" r:id="rId6"/>
    <sheet name="Dashboard" sheetId="8" r:id="rId7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6" i="1" l="1"/>
  <c r="J16" i="1"/>
  <c r="I16" i="1"/>
  <c r="H16" i="1"/>
  <c r="G16" i="1"/>
  <c r="F16" i="1"/>
  <c r="E16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F11" i="5"/>
  <c r="F12" i="4"/>
  <c r="F11" i="3"/>
  <c r="E11" i="2"/>
</calcChain>
</file>

<file path=xl/sharedStrings.xml><?xml version="1.0" encoding="utf-8"?>
<sst xmlns="http://schemas.openxmlformats.org/spreadsheetml/2006/main" count="51" uniqueCount="40">
  <si>
    <t>Chair</t>
  </si>
  <si>
    <t>Desk</t>
  </si>
  <si>
    <t>Laptop</t>
  </si>
  <si>
    <t>Monitor</t>
  </si>
  <si>
    <t>Phone</t>
  </si>
  <si>
    <t>Printer</t>
  </si>
  <si>
    <t>Tablet</t>
  </si>
  <si>
    <t>JANUARY</t>
  </si>
  <si>
    <t>FEBUARY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</si>
  <si>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</si>
  <si>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</si>
  <si>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</si>
  <si>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</si>
  <si>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</si>
  <si>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</si>
  <si>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</si>
  <si>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</si>
  <si>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</si>
  <si>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</si>
  <si>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</si>
  <si>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GRAND TOTAL</t>
  </si>
  <si>
    <t>Shipped</t>
  </si>
  <si>
    <t>Cancelled</t>
  </si>
  <si>
    <t>Returned</t>
  </si>
  <si>
    <t>Delivered</t>
  </si>
  <si>
    <t>Pending</t>
  </si>
  <si>
    <t>Instagram</t>
  </si>
  <si>
    <t>Referral</t>
  </si>
  <si>
    <t>Facebook</t>
  </si>
  <si>
    <t>Email</t>
  </si>
  <si>
    <t>Google</t>
  </si>
  <si>
    <t>Online</t>
  </si>
  <si>
    <t>Cash</t>
  </si>
  <si>
    <t>Credit card</t>
  </si>
  <si>
    <t>Debit card</t>
  </si>
  <si>
    <t>Gift card</t>
  </si>
  <si>
    <t>TOTAL SALES</t>
  </si>
  <si>
    <t>DATA ANALYSIS PROJECT</t>
  </si>
  <si>
    <t>TOTAL SALES 1264761.96</t>
  </si>
  <si>
    <t>TOTAL PRODUCT SOLD 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</si>
</sst>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1" fillId="0" borderId="0" xfId="0" applyFont="1"/>
    <xf numFmtId="0" fontId="0" fillId="3" borderId="0" xfId="0" applyFill="1"/>
    <xf numFmtId="0" fontId="2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right" wrapText="1"/>
    </xf>
    <xf numFmtId="0" fontId="8" fillId="0" borderId="0" xfId="0" applyFont="1"/>
    <xf numFmtId="0" fontId="7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9" fillId="0" borderId="0" xfId="0" applyFont="1"/>
    <xf numFmtId="0" fontId="2" fillId="0" borderId="2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Trend'!$E$4</c:f>
              <c:strCache>
                <c:ptCount val="1"/>
                <c:pt idx="0">
                  <c:v>24310.66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Trend'!$D$5:$D$15</c:f>
              <c:strCache>
                <c:ptCount val="11"/>
                <c:pt idx="0">
                  <c:v>FEBUARY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'Sales Trend'!$E$5:$E$15</c:f>
              <c:numCache>
                <c:formatCode>General</c:formatCode>
                <c:ptCount val="11"/>
                <c:pt idx="0">
                  <c:v>12214.34</c:v>
                </c:pt>
                <c:pt idx="1">
                  <c:v>12336.96</c:v>
                </c:pt>
                <c:pt idx="2">
                  <c:v>9401.7000000000007</c:v>
                </c:pt>
                <c:pt idx="3">
                  <c:v>19105.84</c:v>
                </c:pt>
                <c:pt idx="4">
                  <c:v>34630.07</c:v>
                </c:pt>
                <c:pt idx="5">
                  <c:v>14263.9</c:v>
                </c:pt>
                <c:pt idx="6">
                  <c:v>14110.83</c:v>
                </c:pt>
                <c:pt idx="7">
                  <c:v>11492.96</c:v>
                </c:pt>
                <c:pt idx="8">
                  <c:v>15658.27</c:v>
                </c:pt>
                <c:pt idx="9">
                  <c:v>17915.490000000002</c:v>
                </c:pt>
                <c:pt idx="10">
                  <c:v>10170.09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0C-4A36-AB90-5F507D594C08}"/>
            </c:ext>
          </c:extLst>
        </c:ser>
        <c:ser>
          <c:idx val="1"/>
          <c:order val="1"/>
          <c:tx>
            <c:strRef>
              <c:f>'Sales Trend'!$F$4</c:f>
              <c:strCache>
                <c:ptCount val="1"/>
                <c:pt idx="0">
                  <c:v>5360.04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Trend'!$D$5:$D$15</c:f>
              <c:strCache>
                <c:ptCount val="11"/>
                <c:pt idx="0">
                  <c:v>FEBUARY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'Sales Trend'!$F$5:$F$15</c:f>
              <c:numCache>
                <c:formatCode>General</c:formatCode>
                <c:ptCount val="11"/>
                <c:pt idx="0">
                  <c:v>21456.06</c:v>
                </c:pt>
                <c:pt idx="1">
                  <c:v>13612.27</c:v>
                </c:pt>
                <c:pt idx="2">
                  <c:v>17741.53</c:v>
                </c:pt>
                <c:pt idx="3">
                  <c:v>19008.66</c:v>
                </c:pt>
                <c:pt idx="4">
                  <c:v>24887.91</c:v>
                </c:pt>
                <c:pt idx="5">
                  <c:v>16407.66</c:v>
                </c:pt>
                <c:pt idx="6">
                  <c:v>10799.11</c:v>
                </c:pt>
                <c:pt idx="7">
                  <c:v>14355.66</c:v>
                </c:pt>
                <c:pt idx="8">
                  <c:v>6827.19</c:v>
                </c:pt>
                <c:pt idx="9">
                  <c:v>6414.43</c:v>
                </c:pt>
                <c:pt idx="10">
                  <c:v>10589.41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0C-4A36-AB90-5F507D594C08}"/>
            </c:ext>
          </c:extLst>
        </c:ser>
        <c:ser>
          <c:idx val="2"/>
          <c:order val="2"/>
          <c:tx>
            <c:strRef>
              <c:f>'Sales Trend'!$G$4</c:f>
              <c:strCache>
                <c:ptCount val="1"/>
                <c:pt idx="0">
                  <c:v>19760.84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Trend'!$D$5:$D$15</c:f>
              <c:strCache>
                <c:ptCount val="11"/>
                <c:pt idx="0">
                  <c:v>FEBUARY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'Sales Trend'!$G$5:$G$15</c:f>
              <c:numCache>
                <c:formatCode>General</c:formatCode>
                <c:ptCount val="11"/>
                <c:pt idx="0">
                  <c:v>11174.04</c:v>
                </c:pt>
                <c:pt idx="1">
                  <c:v>20774.43</c:v>
                </c:pt>
                <c:pt idx="2">
                  <c:v>26051.74</c:v>
                </c:pt>
                <c:pt idx="3">
                  <c:v>21212.44</c:v>
                </c:pt>
                <c:pt idx="4">
                  <c:v>10703.01</c:v>
                </c:pt>
                <c:pt idx="5">
                  <c:v>18490.63</c:v>
                </c:pt>
                <c:pt idx="6">
                  <c:v>8016.01</c:v>
                </c:pt>
                <c:pt idx="7">
                  <c:v>12829.51</c:v>
                </c:pt>
                <c:pt idx="8">
                  <c:v>21067.52</c:v>
                </c:pt>
                <c:pt idx="9">
                  <c:v>15771.14</c:v>
                </c:pt>
                <c:pt idx="10">
                  <c:v>6275.25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0C-4A36-AB90-5F507D594C08}"/>
            </c:ext>
          </c:extLst>
        </c:ser>
        <c:ser>
          <c:idx val="3"/>
          <c:order val="3"/>
          <c:tx>
            <c:strRef>
              <c:f>'Sales Trend'!$H$4</c:f>
              <c:strCache>
                <c:ptCount val="1"/>
                <c:pt idx="0">
                  <c:v>23493.05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'Sales Trend'!$D$5:$D$15</c:f>
              <c:strCache>
                <c:ptCount val="11"/>
                <c:pt idx="0">
                  <c:v>FEBUARY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'Sales Trend'!$H$5:$H$15</c:f>
              <c:numCache>
                <c:formatCode>General</c:formatCode>
                <c:ptCount val="11"/>
                <c:pt idx="0">
                  <c:v>15745.69</c:v>
                </c:pt>
                <c:pt idx="1">
                  <c:v>19614.150000000001</c:v>
                </c:pt>
                <c:pt idx="2">
                  <c:v>13505.25</c:v>
                </c:pt>
                <c:pt idx="3">
                  <c:v>17786.18</c:v>
                </c:pt>
                <c:pt idx="4">
                  <c:v>21277.33</c:v>
                </c:pt>
                <c:pt idx="5">
                  <c:v>6380.21</c:v>
                </c:pt>
                <c:pt idx="6">
                  <c:v>14047.23</c:v>
                </c:pt>
                <c:pt idx="7">
                  <c:v>3306.96</c:v>
                </c:pt>
                <c:pt idx="8">
                  <c:v>12027.54</c:v>
                </c:pt>
                <c:pt idx="9">
                  <c:v>9205.43</c:v>
                </c:pt>
                <c:pt idx="10">
                  <c:v>19084.39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0C-4A36-AB90-5F507D594C08}"/>
            </c:ext>
          </c:extLst>
        </c:ser>
        <c:ser>
          <c:idx val="4"/>
          <c:order val="4"/>
          <c:tx>
            <c:strRef>
              <c:f>'Sales Trend'!$I$4</c:f>
              <c:strCache>
                <c:ptCount val="1"/>
                <c:pt idx="0">
                  <c:v>16557.22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'Sales Trend'!$D$5:$D$15</c:f>
              <c:strCache>
                <c:ptCount val="11"/>
                <c:pt idx="0">
                  <c:v>FEBUARY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'Sales Trend'!$I$5:$I$15</c:f>
              <c:numCache>
                <c:formatCode>General</c:formatCode>
                <c:ptCount val="11"/>
                <c:pt idx="0">
                  <c:v>9087.61</c:v>
                </c:pt>
                <c:pt idx="1">
                  <c:v>13228.26</c:v>
                </c:pt>
                <c:pt idx="2">
                  <c:v>10926.25</c:v>
                </c:pt>
                <c:pt idx="3">
                  <c:v>16809.29</c:v>
                </c:pt>
                <c:pt idx="4">
                  <c:v>28169.439999999999</c:v>
                </c:pt>
                <c:pt idx="5">
                  <c:v>8089.06</c:v>
                </c:pt>
                <c:pt idx="6">
                  <c:v>10651.35</c:v>
                </c:pt>
                <c:pt idx="7">
                  <c:v>11808.66</c:v>
                </c:pt>
                <c:pt idx="8">
                  <c:v>8746.86</c:v>
                </c:pt>
                <c:pt idx="9">
                  <c:v>12895.31</c:v>
                </c:pt>
                <c:pt idx="10">
                  <c:v>4753.08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0C-4A36-AB90-5F507D594C08}"/>
            </c:ext>
          </c:extLst>
        </c:ser>
        <c:ser>
          <c:idx val="5"/>
          <c:order val="5"/>
          <c:tx>
            <c:strRef>
              <c:f>'Sales Trend'!$J$4</c:f>
              <c:strCache>
                <c:ptCount val="1"/>
                <c:pt idx="0">
                  <c:v>15776.64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'Sales Trend'!$D$5:$D$15</c:f>
              <c:strCache>
                <c:ptCount val="11"/>
                <c:pt idx="0">
                  <c:v>FEBUARY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'Sales Trend'!$J$5:$J$15</c:f>
              <c:numCache>
                <c:formatCode>General</c:formatCode>
                <c:ptCount val="11"/>
                <c:pt idx="0">
                  <c:v>20492.23</c:v>
                </c:pt>
                <c:pt idx="1">
                  <c:v>21734.05</c:v>
                </c:pt>
                <c:pt idx="2">
                  <c:v>17236.650000000001</c:v>
                </c:pt>
                <c:pt idx="3">
                  <c:v>19573.71</c:v>
                </c:pt>
                <c:pt idx="4">
                  <c:v>31552.240000000002</c:v>
                </c:pt>
                <c:pt idx="5">
                  <c:v>17166.78</c:v>
                </c:pt>
                <c:pt idx="6">
                  <c:v>13116.82</c:v>
                </c:pt>
                <c:pt idx="7">
                  <c:v>2589.12</c:v>
                </c:pt>
                <c:pt idx="8">
                  <c:v>15299.67</c:v>
                </c:pt>
                <c:pt idx="9">
                  <c:v>8371.94</c:v>
                </c:pt>
                <c:pt idx="10">
                  <c:v>12702.76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E0C-4A36-AB90-5F507D594C08}"/>
            </c:ext>
          </c:extLst>
        </c:ser>
        <c:ser>
          <c:idx val="6"/>
          <c:order val="6"/>
          <c:tx>
            <c:strRef>
              <c:f>'Sales Trend'!$K$4</c:f>
              <c:strCache>
                <c:ptCount val="1"/>
                <c:pt idx="0">
                  <c:v>18856.78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Trend'!$D$5:$D$15</c:f>
              <c:strCache>
                <c:ptCount val="11"/>
                <c:pt idx="0">
                  <c:v>FEBUARY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'Sales Trend'!$K$5:$K$15</c:f>
              <c:numCache>
                <c:formatCode>General</c:formatCode>
                <c:ptCount val="11"/>
                <c:pt idx="0">
                  <c:v>22185.81</c:v>
                </c:pt>
                <c:pt idx="1">
                  <c:v>22540.81</c:v>
                </c:pt>
                <c:pt idx="2">
                  <c:v>14322.93</c:v>
                </c:pt>
                <c:pt idx="3">
                  <c:v>21646.47</c:v>
                </c:pt>
                <c:pt idx="4">
                  <c:v>19396.13</c:v>
                </c:pt>
                <c:pt idx="5">
                  <c:v>4986.3999999999996</c:v>
                </c:pt>
                <c:pt idx="6">
                  <c:v>15601.86</c:v>
                </c:pt>
                <c:pt idx="7">
                  <c:v>12938.78</c:v>
                </c:pt>
                <c:pt idx="8">
                  <c:v>10207.77</c:v>
                </c:pt>
                <c:pt idx="9">
                  <c:v>4919.6899999999996</c:v>
                </c:pt>
                <c:pt idx="10">
                  <c:v>18965.52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0C-4A36-AB90-5F507D594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6035359"/>
        <c:axId val="1426028287"/>
      </c:barChart>
      <c:catAx>
        <c:axId val="142603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028287"/>
        <c:crosses val="autoZero"/>
        <c:auto val="1"/>
        <c:lblAlgn val="ctr"/>
        <c:lblOffset val="100"/>
        <c:noMultiLvlLbl val="0"/>
      </c:catAx>
      <c:valAx>
        <c:axId val="142602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03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'Order Status'!$D$6:$D$10</c:f>
              <c:strCache>
                <c:ptCount val="5"/>
                <c:pt idx="0">
                  <c:v>Shipped</c:v>
                </c:pt>
                <c:pt idx="1">
                  <c:v>Cancelled</c:v>
                </c:pt>
                <c:pt idx="2">
                  <c:v>Returned</c:v>
                </c:pt>
                <c:pt idx="3">
                  <c:v>Delivered</c:v>
                </c:pt>
                <c:pt idx="4">
                  <c:v>Pending</c:v>
                </c:pt>
              </c:strCache>
            </c:strRef>
          </c:cat>
          <c:val>
            <c:numRef>
              <c:f>'Order Status'!$E$6:$E$10</c:f>
              <c:numCache>
                <c:formatCode>General</c:formatCode>
                <c:ptCount val="5"/>
                <c:pt idx="0">
                  <c:v>235</c:v>
                </c:pt>
                <c:pt idx="1">
                  <c:v>250</c:v>
                </c:pt>
                <c:pt idx="2">
                  <c:v>247</c:v>
                </c:pt>
                <c:pt idx="3">
                  <c:v>231</c:v>
                </c:pt>
                <c:pt idx="4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51-478F-874B-2D79F7F48F4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26028703"/>
        <c:axId val="1426029535"/>
      </c:barChart>
      <c:catAx>
        <c:axId val="1426028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029535"/>
        <c:crosses val="autoZero"/>
        <c:auto val="1"/>
        <c:lblAlgn val="ctr"/>
        <c:lblOffset val="100"/>
        <c:noMultiLvlLbl val="0"/>
      </c:catAx>
      <c:valAx>
        <c:axId val="142602953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028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Referral</a:t>
            </a:r>
            <a:r>
              <a:rPr lang="en-US" baseline="0"/>
              <a:t> Source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'Referral Source'!$E$6:$E$10</c:f>
              <c:strCache>
                <c:ptCount val="5"/>
                <c:pt idx="0">
                  <c:v>Instagram</c:v>
                </c:pt>
                <c:pt idx="1">
                  <c:v>Referral</c:v>
                </c:pt>
                <c:pt idx="2">
                  <c:v>Facebook</c:v>
                </c:pt>
                <c:pt idx="3">
                  <c:v>Email</c:v>
                </c:pt>
                <c:pt idx="4">
                  <c:v>Google</c:v>
                </c:pt>
              </c:strCache>
            </c:strRef>
          </c:cat>
          <c:val>
            <c:numRef>
              <c:f>'Referral Source'!$F$6:$F$10</c:f>
              <c:numCache>
                <c:formatCode>General</c:formatCode>
                <c:ptCount val="5"/>
                <c:pt idx="0">
                  <c:v>259</c:v>
                </c:pt>
                <c:pt idx="1">
                  <c:v>222</c:v>
                </c:pt>
                <c:pt idx="2">
                  <c:v>228</c:v>
                </c:pt>
                <c:pt idx="3">
                  <c:v>250</c:v>
                </c:pt>
                <c:pt idx="4">
                  <c:v>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A-4859-BF5F-5DAE6471F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26024127"/>
        <c:axId val="1426024543"/>
        <c:axId val="1402307487"/>
      </c:bar3DChart>
      <c:catAx>
        <c:axId val="142602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024543"/>
        <c:crosses val="autoZero"/>
        <c:auto val="1"/>
        <c:lblAlgn val="ctr"/>
        <c:lblOffset val="100"/>
        <c:noMultiLvlLbl val="0"/>
      </c:catAx>
      <c:valAx>
        <c:axId val="142602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024127"/>
        <c:crosses val="autoZero"/>
        <c:crossBetween val="between"/>
      </c:valAx>
      <c:serAx>
        <c:axId val="1402307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024543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Product!$E$5:$E$11</c:f>
              <c:strCache>
                <c:ptCount val="7"/>
                <c:pt idx="0">
                  <c:v>Chair</c:v>
                </c:pt>
                <c:pt idx="1">
                  <c:v>Tablet</c:v>
                </c:pt>
                <c:pt idx="2">
                  <c:v>Phone</c:v>
                </c:pt>
                <c:pt idx="3">
                  <c:v>Monitor</c:v>
                </c:pt>
                <c:pt idx="4">
                  <c:v>Printer</c:v>
                </c:pt>
                <c:pt idx="5">
                  <c:v>Laptop</c:v>
                </c:pt>
                <c:pt idx="6">
                  <c:v>Desk</c:v>
                </c:pt>
              </c:strCache>
            </c:strRef>
          </c:cat>
          <c:val>
            <c:numRef>
              <c:f>Product!$F$5:$F$11</c:f>
              <c:numCache>
                <c:formatCode>General</c:formatCode>
                <c:ptCount val="7"/>
                <c:pt idx="0">
                  <c:v>178</c:v>
                </c:pt>
                <c:pt idx="1">
                  <c:v>179</c:v>
                </c:pt>
                <c:pt idx="2">
                  <c:v>156</c:v>
                </c:pt>
                <c:pt idx="3">
                  <c:v>163</c:v>
                </c:pt>
                <c:pt idx="4">
                  <c:v>181</c:v>
                </c:pt>
                <c:pt idx="5">
                  <c:v>173</c:v>
                </c:pt>
                <c:pt idx="6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52-498A-BE92-06C82706039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26036191"/>
        <c:axId val="1426037855"/>
      </c:barChart>
      <c:catAx>
        <c:axId val="1426036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037855"/>
        <c:crosses val="autoZero"/>
        <c:auto val="1"/>
        <c:lblAlgn val="ctr"/>
        <c:lblOffset val="100"/>
        <c:noMultiLvlLbl val="0"/>
      </c:catAx>
      <c:valAx>
        <c:axId val="14260378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036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'Payment Method'!$E$6:$E$10</c:f>
              <c:strCache>
                <c:ptCount val="5"/>
                <c:pt idx="0">
                  <c:v>Online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Gift card</c:v>
                </c:pt>
              </c:strCache>
            </c:strRef>
          </c:cat>
          <c:val>
            <c:numRef>
              <c:f>'Payment Method'!$F$6:$F$10</c:f>
              <c:numCache>
                <c:formatCode>General</c:formatCode>
                <c:ptCount val="5"/>
                <c:pt idx="0">
                  <c:v>258</c:v>
                </c:pt>
                <c:pt idx="1">
                  <c:v>246</c:v>
                </c:pt>
                <c:pt idx="2">
                  <c:v>234</c:v>
                </c:pt>
                <c:pt idx="3">
                  <c:v>232</c:v>
                </c:pt>
                <c:pt idx="4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6-446D-8E93-0EA54542387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00709007"/>
        <c:axId val="1400709839"/>
      </c:barChart>
      <c:catAx>
        <c:axId val="1400709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709839"/>
        <c:crosses val="autoZero"/>
        <c:auto val="1"/>
        <c:lblAlgn val="ctr"/>
        <c:lblOffset val="100"/>
        <c:noMultiLvlLbl val="0"/>
      </c:catAx>
      <c:valAx>
        <c:axId val="140070983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709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'Order Status'!$D$6:$D$10</c:f>
              <c:strCache>
                <c:ptCount val="5"/>
                <c:pt idx="0">
                  <c:v>Shipped</c:v>
                </c:pt>
                <c:pt idx="1">
                  <c:v>Cancelled</c:v>
                </c:pt>
                <c:pt idx="2">
                  <c:v>Returned</c:v>
                </c:pt>
                <c:pt idx="3">
                  <c:v>Delivered</c:v>
                </c:pt>
                <c:pt idx="4">
                  <c:v>Pending</c:v>
                </c:pt>
              </c:strCache>
            </c:strRef>
          </c:cat>
          <c:val>
            <c:numRef>
              <c:f>'Order Status'!$E$6:$E$10</c:f>
              <c:numCache>
                <c:formatCode>General</c:formatCode>
                <c:ptCount val="5"/>
                <c:pt idx="0">
                  <c:v>235</c:v>
                </c:pt>
                <c:pt idx="1">
                  <c:v>250</c:v>
                </c:pt>
                <c:pt idx="2">
                  <c:v>247</c:v>
                </c:pt>
                <c:pt idx="3">
                  <c:v>231</c:v>
                </c:pt>
                <c:pt idx="4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5-4213-9992-E2EF53B2A6C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26028703"/>
        <c:axId val="1426029535"/>
      </c:barChart>
      <c:catAx>
        <c:axId val="1426028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029535"/>
        <c:crosses val="autoZero"/>
        <c:auto val="1"/>
        <c:lblAlgn val="ctr"/>
        <c:lblOffset val="100"/>
        <c:noMultiLvlLbl val="0"/>
      </c:catAx>
      <c:valAx>
        <c:axId val="142602953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028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Referral</a:t>
            </a:r>
            <a:r>
              <a:rPr lang="en-US" baseline="0"/>
              <a:t> Source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'Referral Source'!$E$6:$E$10</c:f>
              <c:strCache>
                <c:ptCount val="5"/>
                <c:pt idx="0">
                  <c:v>Instagram</c:v>
                </c:pt>
                <c:pt idx="1">
                  <c:v>Referral</c:v>
                </c:pt>
                <c:pt idx="2">
                  <c:v>Facebook</c:v>
                </c:pt>
                <c:pt idx="3">
                  <c:v>Email</c:v>
                </c:pt>
                <c:pt idx="4">
                  <c:v>Google</c:v>
                </c:pt>
              </c:strCache>
            </c:strRef>
          </c:cat>
          <c:val>
            <c:numRef>
              <c:f>'Referral Source'!$F$6:$F$10</c:f>
              <c:numCache>
                <c:formatCode>General</c:formatCode>
                <c:ptCount val="5"/>
                <c:pt idx="0">
                  <c:v>259</c:v>
                </c:pt>
                <c:pt idx="1">
                  <c:v>222</c:v>
                </c:pt>
                <c:pt idx="2">
                  <c:v>228</c:v>
                </c:pt>
                <c:pt idx="3">
                  <c:v>250</c:v>
                </c:pt>
                <c:pt idx="4">
                  <c:v>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5A-4481-B563-3B773081C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26024127"/>
        <c:axId val="1426024543"/>
        <c:axId val="1402307487"/>
      </c:bar3DChart>
      <c:catAx>
        <c:axId val="142602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024543"/>
        <c:crosses val="autoZero"/>
        <c:auto val="1"/>
        <c:lblAlgn val="ctr"/>
        <c:lblOffset val="100"/>
        <c:noMultiLvlLbl val="0"/>
      </c:catAx>
      <c:valAx>
        <c:axId val="142602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024127"/>
        <c:crosses val="autoZero"/>
        <c:crossBetween val="between"/>
      </c:valAx>
      <c:serAx>
        <c:axId val="1402307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024543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Product!$E$5:$E$11</c:f>
              <c:strCache>
                <c:ptCount val="7"/>
                <c:pt idx="0">
                  <c:v>Chair</c:v>
                </c:pt>
                <c:pt idx="1">
                  <c:v>Tablet</c:v>
                </c:pt>
                <c:pt idx="2">
                  <c:v>Phone</c:v>
                </c:pt>
                <c:pt idx="3">
                  <c:v>Monitor</c:v>
                </c:pt>
                <c:pt idx="4">
                  <c:v>Printer</c:v>
                </c:pt>
                <c:pt idx="5">
                  <c:v>Laptop</c:v>
                </c:pt>
                <c:pt idx="6">
                  <c:v>Desk</c:v>
                </c:pt>
              </c:strCache>
            </c:strRef>
          </c:cat>
          <c:val>
            <c:numRef>
              <c:f>Product!$F$5:$F$11</c:f>
              <c:numCache>
                <c:formatCode>General</c:formatCode>
                <c:ptCount val="7"/>
                <c:pt idx="0">
                  <c:v>178</c:v>
                </c:pt>
                <c:pt idx="1">
                  <c:v>179</c:v>
                </c:pt>
                <c:pt idx="2">
                  <c:v>156</c:v>
                </c:pt>
                <c:pt idx="3">
                  <c:v>163</c:v>
                </c:pt>
                <c:pt idx="4">
                  <c:v>181</c:v>
                </c:pt>
                <c:pt idx="5">
                  <c:v>173</c:v>
                </c:pt>
                <c:pt idx="6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1-4FF6-827B-B9F320009F4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26036191"/>
        <c:axId val="1426037855"/>
      </c:barChart>
      <c:catAx>
        <c:axId val="1426036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037855"/>
        <c:crosses val="autoZero"/>
        <c:auto val="1"/>
        <c:lblAlgn val="ctr"/>
        <c:lblOffset val="100"/>
        <c:noMultiLvlLbl val="0"/>
      </c:catAx>
      <c:valAx>
        <c:axId val="14260378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036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'Payment Method'!$E$6:$E$10</c:f>
              <c:strCache>
                <c:ptCount val="5"/>
                <c:pt idx="0">
                  <c:v>Online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Gift card</c:v>
                </c:pt>
              </c:strCache>
            </c:strRef>
          </c:cat>
          <c:val>
            <c:numRef>
              <c:f>'Payment Method'!$F$6:$F$10</c:f>
              <c:numCache>
                <c:formatCode>General</c:formatCode>
                <c:ptCount val="5"/>
                <c:pt idx="0">
                  <c:v>258</c:v>
                </c:pt>
                <c:pt idx="1">
                  <c:v>246</c:v>
                </c:pt>
                <c:pt idx="2">
                  <c:v>234</c:v>
                </c:pt>
                <c:pt idx="3">
                  <c:v>232</c:v>
                </c:pt>
                <c:pt idx="4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5F-4A99-917B-43ADCE7507B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00709007"/>
        <c:axId val="1400709839"/>
      </c:barChart>
      <c:catAx>
        <c:axId val="1400709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709839"/>
        <c:crosses val="autoZero"/>
        <c:auto val="1"/>
        <c:lblAlgn val="ctr"/>
        <c:lblOffset val="100"/>
        <c:noMultiLvlLbl val="0"/>
      </c:catAx>
      <c:valAx>
        <c:axId val="140070983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709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Trend'!$E$4</c:f>
              <c:strCache>
                <c:ptCount val="1"/>
                <c:pt idx="0">
                  <c:v>24310.66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Trend'!$D$5:$D$15</c:f>
              <c:strCache>
                <c:ptCount val="11"/>
                <c:pt idx="0">
                  <c:v>FEBUARY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'Sales Trend'!$E$5:$E$15</c:f>
              <c:numCache>
                <c:formatCode>General</c:formatCode>
                <c:ptCount val="11"/>
                <c:pt idx="0">
                  <c:v>12214.34</c:v>
                </c:pt>
                <c:pt idx="1">
                  <c:v>12336.96</c:v>
                </c:pt>
                <c:pt idx="2">
                  <c:v>9401.7000000000007</c:v>
                </c:pt>
                <c:pt idx="3">
                  <c:v>19105.84</c:v>
                </c:pt>
                <c:pt idx="4">
                  <c:v>34630.07</c:v>
                </c:pt>
                <c:pt idx="5">
                  <c:v>14263.9</c:v>
                </c:pt>
                <c:pt idx="6">
                  <c:v>14110.83</c:v>
                </c:pt>
                <c:pt idx="7">
                  <c:v>11492.96</c:v>
                </c:pt>
                <c:pt idx="8">
                  <c:v>15658.27</c:v>
                </c:pt>
                <c:pt idx="9">
                  <c:v>17915.490000000002</c:v>
                </c:pt>
                <c:pt idx="10">
                  <c:v>10170.09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3-436D-9B47-7A51CEABB82D}"/>
            </c:ext>
          </c:extLst>
        </c:ser>
        <c:ser>
          <c:idx val="1"/>
          <c:order val="1"/>
          <c:tx>
            <c:strRef>
              <c:f>'Sales Trend'!$F$4</c:f>
              <c:strCache>
                <c:ptCount val="1"/>
                <c:pt idx="0">
                  <c:v>5360.04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Trend'!$D$5:$D$15</c:f>
              <c:strCache>
                <c:ptCount val="11"/>
                <c:pt idx="0">
                  <c:v>FEBUARY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'Sales Trend'!$F$5:$F$15</c:f>
              <c:numCache>
                <c:formatCode>General</c:formatCode>
                <c:ptCount val="11"/>
                <c:pt idx="0">
                  <c:v>21456.06</c:v>
                </c:pt>
                <c:pt idx="1">
                  <c:v>13612.27</c:v>
                </c:pt>
                <c:pt idx="2">
                  <c:v>17741.53</c:v>
                </c:pt>
                <c:pt idx="3">
                  <c:v>19008.66</c:v>
                </c:pt>
                <c:pt idx="4">
                  <c:v>24887.91</c:v>
                </c:pt>
                <c:pt idx="5">
                  <c:v>16407.66</c:v>
                </c:pt>
                <c:pt idx="6">
                  <c:v>10799.11</c:v>
                </c:pt>
                <c:pt idx="7">
                  <c:v>14355.66</c:v>
                </c:pt>
                <c:pt idx="8">
                  <c:v>6827.19</c:v>
                </c:pt>
                <c:pt idx="9">
                  <c:v>6414.43</c:v>
                </c:pt>
                <c:pt idx="10">
                  <c:v>10589.41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F3-436D-9B47-7A51CEABB82D}"/>
            </c:ext>
          </c:extLst>
        </c:ser>
        <c:ser>
          <c:idx val="2"/>
          <c:order val="2"/>
          <c:tx>
            <c:strRef>
              <c:f>'Sales Trend'!$G$4</c:f>
              <c:strCache>
                <c:ptCount val="1"/>
                <c:pt idx="0">
                  <c:v>19760.84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Trend'!$D$5:$D$15</c:f>
              <c:strCache>
                <c:ptCount val="11"/>
                <c:pt idx="0">
                  <c:v>FEBUARY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'Sales Trend'!$G$5:$G$15</c:f>
              <c:numCache>
                <c:formatCode>General</c:formatCode>
                <c:ptCount val="11"/>
                <c:pt idx="0">
                  <c:v>11174.04</c:v>
                </c:pt>
                <c:pt idx="1">
                  <c:v>20774.43</c:v>
                </c:pt>
                <c:pt idx="2">
                  <c:v>26051.74</c:v>
                </c:pt>
                <c:pt idx="3">
                  <c:v>21212.44</c:v>
                </c:pt>
                <c:pt idx="4">
                  <c:v>10703.01</c:v>
                </c:pt>
                <c:pt idx="5">
                  <c:v>18490.63</c:v>
                </c:pt>
                <c:pt idx="6">
                  <c:v>8016.01</c:v>
                </c:pt>
                <c:pt idx="7">
                  <c:v>12829.51</c:v>
                </c:pt>
                <c:pt idx="8">
                  <c:v>21067.52</c:v>
                </c:pt>
                <c:pt idx="9">
                  <c:v>15771.14</c:v>
                </c:pt>
                <c:pt idx="10">
                  <c:v>6275.25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F3-436D-9B47-7A51CEABB82D}"/>
            </c:ext>
          </c:extLst>
        </c:ser>
        <c:ser>
          <c:idx val="3"/>
          <c:order val="3"/>
          <c:tx>
            <c:strRef>
              <c:f>'Sales Trend'!$H$4</c:f>
              <c:strCache>
                <c:ptCount val="1"/>
                <c:pt idx="0">
                  <c:v>23493.05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'Sales Trend'!$D$5:$D$15</c:f>
              <c:strCache>
                <c:ptCount val="11"/>
                <c:pt idx="0">
                  <c:v>FEBUARY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'Sales Trend'!$H$5:$H$15</c:f>
              <c:numCache>
                <c:formatCode>General</c:formatCode>
                <c:ptCount val="11"/>
                <c:pt idx="0">
                  <c:v>15745.69</c:v>
                </c:pt>
                <c:pt idx="1">
                  <c:v>19614.150000000001</c:v>
                </c:pt>
                <c:pt idx="2">
                  <c:v>13505.25</c:v>
                </c:pt>
                <c:pt idx="3">
                  <c:v>17786.18</c:v>
                </c:pt>
                <c:pt idx="4">
                  <c:v>21277.33</c:v>
                </c:pt>
                <c:pt idx="5">
                  <c:v>6380.21</c:v>
                </c:pt>
                <c:pt idx="6">
                  <c:v>14047.23</c:v>
                </c:pt>
                <c:pt idx="7">
                  <c:v>3306.96</c:v>
                </c:pt>
                <c:pt idx="8">
                  <c:v>12027.54</c:v>
                </c:pt>
                <c:pt idx="9">
                  <c:v>9205.43</c:v>
                </c:pt>
                <c:pt idx="10">
                  <c:v>19084.39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F3-436D-9B47-7A51CEABB82D}"/>
            </c:ext>
          </c:extLst>
        </c:ser>
        <c:ser>
          <c:idx val="4"/>
          <c:order val="4"/>
          <c:tx>
            <c:strRef>
              <c:f>'Sales Trend'!$I$4</c:f>
              <c:strCache>
                <c:ptCount val="1"/>
                <c:pt idx="0">
                  <c:v>16557.22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'Sales Trend'!$D$5:$D$15</c:f>
              <c:strCache>
                <c:ptCount val="11"/>
                <c:pt idx="0">
                  <c:v>FEBUARY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'Sales Trend'!$I$5:$I$15</c:f>
              <c:numCache>
                <c:formatCode>General</c:formatCode>
                <c:ptCount val="11"/>
                <c:pt idx="0">
                  <c:v>9087.61</c:v>
                </c:pt>
                <c:pt idx="1">
                  <c:v>13228.26</c:v>
                </c:pt>
                <c:pt idx="2">
                  <c:v>10926.25</c:v>
                </c:pt>
                <c:pt idx="3">
                  <c:v>16809.29</c:v>
                </c:pt>
                <c:pt idx="4">
                  <c:v>28169.439999999999</c:v>
                </c:pt>
                <c:pt idx="5">
                  <c:v>8089.06</c:v>
                </c:pt>
                <c:pt idx="6">
                  <c:v>10651.35</c:v>
                </c:pt>
                <c:pt idx="7">
                  <c:v>11808.66</c:v>
                </c:pt>
                <c:pt idx="8">
                  <c:v>8746.86</c:v>
                </c:pt>
                <c:pt idx="9">
                  <c:v>12895.31</c:v>
                </c:pt>
                <c:pt idx="10">
                  <c:v>4753.08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F3-436D-9B47-7A51CEABB82D}"/>
            </c:ext>
          </c:extLst>
        </c:ser>
        <c:ser>
          <c:idx val="5"/>
          <c:order val="5"/>
          <c:tx>
            <c:strRef>
              <c:f>'Sales Trend'!$J$4</c:f>
              <c:strCache>
                <c:ptCount val="1"/>
                <c:pt idx="0">
                  <c:v>15776.64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'Sales Trend'!$D$5:$D$15</c:f>
              <c:strCache>
                <c:ptCount val="11"/>
                <c:pt idx="0">
                  <c:v>FEBUARY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'Sales Trend'!$J$5:$J$15</c:f>
              <c:numCache>
                <c:formatCode>General</c:formatCode>
                <c:ptCount val="11"/>
                <c:pt idx="0">
                  <c:v>20492.23</c:v>
                </c:pt>
                <c:pt idx="1">
                  <c:v>21734.05</c:v>
                </c:pt>
                <c:pt idx="2">
                  <c:v>17236.650000000001</c:v>
                </c:pt>
                <c:pt idx="3">
                  <c:v>19573.71</c:v>
                </c:pt>
                <c:pt idx="4">
                  <c:v>31552.240000000002</c:v>
                </c:pt>
                <c:pt idx="5">
                  <c:v>17166.78</c:v>
                </c:pt>
                <c:pt idx="6">
                  <c:v>13116.82</c:v>
                </c:pt>
                <c:pt idx="7">
                  <c:v>2589.12</c:v>
                </c:pt>
                <c:pt idx="8">
                  <c:v>15299.67</c:v>
                </c:pt>
                <c:pt idx="9">
                  <c:v>8371.94</c:v>
                </c:pt>
                <c:pt idx="10">
                  <c:v>12702.76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F3-436D-9B47-7A51CEABB82D}"/>
            </c:ext>
          </c:extLst>
        </c:ser>
        <c:ser>
          <c:idx val="6"/>
          <c:order val="6"/>
          <c:tx>
            <c:strRef>
              <c:f>'Sales Trend'!$K$4</c:f>
              <c:strCache>
                <c:ptCount val="1"/>
                <c:pt idx="0">
                  <c:v>18856.78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Trend'!$D$5:$D$15</c:f>
              <c:strCache>
                <c:ptCount val="11"/>
                <c:pt idx="0">
                  <c:v>FEBUARY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'Sales Trend'!$K$5:$K$15</c:f>
              <c:numCache>
                <c:formatCode>General</c:formatCode>
                <c:ptCount val="11"/>
                <c:pt idx="0">
                  <c:v>22185.81</c:v>
                </c:pt>
                <c:pt idx="1">
                  <c:v>22540.81</c:v>
                </c:pt>
                <c:pt idx="2">
                  <c:v>14322.93</c:v>
                </c:pt>
                <c:pt idx="3">
                  <c:v>21646.47</c:v>
                </c:pt>
                <c:pt idx="4">
                  <c:v>19396.13</c:v>
                </c:pt>
                <c:pt idx="5">
                  <c:v>4986.3999999999996</c:v>
                </c:pt>
                <c:pt idx="6">
                  <c:v>15601.86</c:v>
                </c:pt>
                <c:pt idx="7">
                  <c:v>12938.78</c:v>
                </c:pt>
                <c:pt idx="8">
                  <c:v>10207.77</c:v>
                </c:pt>
                <c:pt idx="9">
                  <c:v>4919.6899999999996</c:v>
                </c:pt>
                <c:pt idx="10">
                  <c:v>18965.52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F3-436D-9B47-7A51CEABB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6035359"/>
        <c:axId val="1426028287"/>
      </c:barChart>
      <c:catAx>
        <c:axId val="142603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028287"/>
        <c:crosses val="autoZero"/>
        <c:auto val="1"/>
        <c:lblAlgn val="ctr"/>
        <c:lblOffset val="100"/>
        <c:noMultiLvlLbl val="0"/>
      </c:catAx>
      <c:valAx>
        <c:axId val="142602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03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381000</xdr:colOff>
      <xdr:row>1</xdr:row>
      <xdr:rowOff>195262</xdr:rowOff>
    </xdr:from>
    <xdr:to>
      <xdr:col>20</xdr:col>
      <xdr:colOff>76200</xdr:colOff>
      <xdr:row>16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ECEC32-FE95-477E-8DEC-F45DFB89D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2</xdr:row>
      <xdr:rowOff>80962</xdr:rowOff>
    </xdr:from>
    <xdr:to>
      <xdr:col>13</xdr:col>
      <xdr:colOff>19050</xdr:colOff>
      <xdr:row>16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7CF783-7A52-43A2-ADBA-E0B815D0B9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4762</xdr:rowOff>
    </xdr:from>
    <xdr:to>
      <xdr:col>14</xdr:col>
      <xdr:colOff>304800</xdr:colOff>
      <xdr:row>15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C15E07-C502-4205-BCCD-71934B9C58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185737</xdr:rowOff>
    </xdr:from>
    <xdr:to>
      <xdr:col>14</xdr:col>
      <xdr:colOff>304800</xdr:colOff>
      <xdr:row>14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5C9823-1678-4F70-89CF-FBE58A2972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1</xdr:row>
      <xdr:rowOff>185737</xdr:rowOff>
    </xdr:from>
    <xdr:to>
      <xdr:col>14</xdr:col>
      <xdr:colOff>295275</xdr:colOff>
      <xdr:row>15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46964D-3E3F-477A-B1CB-4764131BE3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360211</xdr:colOff>
      <xdr:row>9</xdr:row>
      <xdr:rowOff>114261</xdr:rowOff>
    </xdr:from>
    <xdr:to>
      <xdr:col>16</xdr:col>
      <xdr:colOff>89270</xdr:colOff>
      <xdr:row>23</xdr:row>
      <xdr:rowOff>152360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BE6437-4793-42F3-AF85-664CA6031F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502884</xdr:colOff>
      <xdr:row>24</xdr:row>
      <xdr:rowOff>113411</xdr:rowOff>
    </xdr:from>
    <xdr:to>
      <xdr:col>8</xdr:col>
      <xdr:colOff>198084</xdr:colOff>
      <xdr:row>38</xdr:row>
      <xdr:rowOff>131728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3DCE42-02C2-4A8C-A41E-526F186B06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360865</xdr:colOff>
      <xdr:row>24</xdr:row>
      <xdr:rowOff>107868</xdr:rowOff>
    </xdr:from>
    <xdr:to>
      <xdr:col>16</xdr:col>
      <xdr:colOff>51148</xdr:colOff>
      <xdr:row>38</xdr:row>
      <xdr:rowOff>126918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2DFBAB-304A-4B88-A3AA-BB860DDE52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579769</xdr:colOff>
      <xdr:row>39</xdr:row>
      <xdr:rowOff>112436</xdr:rowOff>
    </xdr:from>
    <xdr:to>
      <xdr:col>12</xdr:col>
      <xdr:colOff>276590</xdr:colOff>
      <xdr:row>53</xdr:row>
      <xdr:rowOff>179112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DB34B9B-8E88-41F9-9411-BAB2D0F229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451701</xdr:colOff>
      <xdr:row>9</xdr:row>
      <xdr:rowOff>117835</xdr:rowOff>
    </xdr:from>
    <xdr:to>
      <xdr:col>8</xdr:col>
      <xdr:colOff>153186</xdr:colOff>
      <xdr:row>23</xdr:row>
      <xdr:rowOff>166933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E43FF22-6DBA-4644-83A9-47FDFC1A01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B8710-7F5A-4EEF-A321-4A9289F8B9DF}">
  <dimension ref="D2:N23"/>
  <sheetViews>
    <sheetView topLeftCell="B1" workbookViewId="0">
      <selection activeCell="E22" sqref="E22"/>
    </sheetView>
  </sheetViews>
  <sheetFormatPr defaultRowHeight="15" x14ac:dyDescent="0.25"/>
  <cols>
    <col min="4" max="4" width="14.42578125" customWidth="1"/>
    <col min="5" max="11" width="9.42578125" bestFit="1" customWidth="1"/>
    <col min="12" max="12" width="11.85546875" customWidth="1"/>
  </cols>
  <sheetData>
    <row r="2" spans="4:12" ht="15.75" thickBot="1" x14ac:dyDescent="0.3"/>
    <row r="3" spans="4:12" ht="15" customHeight="1" thickBot="1" x14ac:dyDescent="0.3">
      <c r="D3" s="13"/>
      <c r="E3" s="1" t="s">
        <v>0</v>
      </c>
      <c r="F3" s="1" t="s">
        <v>1</v>
      </c>
      <c r="G3" s="1" t="s">
        <v>2</v>
      </c>
      <c r="H3" s="1" t="s">
        <v>3</v>
      </c>
      <c r="I3" s="1" t="s">
        <v>4</v>
      </c>
      <c r="J3" s="1" t="s">
        <v>5</v>
      </c>
      <c r="K3" s="1" t="s">
        <v>6</v>
      </c>
      <c r="L3" s="14" t="s">
        <v>19</v>
      </c>
    </row>
    <row r="4" spans="4:12" ht="15.75" thickBot="1" x14ac:dyDescent="0.3">
      <c r="D4" s="1" t="s">
        <v>7</v>
      </c>
      <c r="E4" s="6">
        <v>24310.66</v>
      </c>
      <c r="F4" s="6">
        <v>5360.04</v>
      </c>
      <c r="G4" s="6">
        <v>19760.84</v>
      </c>
      <c r="H4" s="6">
        <v>23493.05</v>
      </c>
      <c r="I4" s="6">
        <v>16557.22</v>
      </c>
      <c r="J4" s="6">
        <v>15776.64</v>
      </c>
      <c r="K4" s="6">
        <v>18856.78</v>
      </c>
      <c r="L4" s="13">
        <f t="shared" ref="L4:L15" si="0">SUM(E4:K4)</f>
        <v>124115.23</v>
      </c>
    </row>
    <row r="5" spans="4:12" ht="15.75" thickBot="1" x14ac:dyDescent="0.3">
      <c r="D5" s="1" t="s">
        <v>8</v>
      </c>
      <c r="E5" s="6">
        <v>12214.34</v>
      </c>
      <c r="F5" s="6">
        <v>21456.06</v>
      </c>
      <c r="G5" s="6">
        <v>11174.04</v>
      </c>
      <c r="H5" s="6">
        <v>15745.69</v>
      </c>
      <c r="I5" s="6">
        <v>9087.61</v>
      </c>
      <c r="J5" s="6">
        <v>20492.23</v>
      </c>
      <c r="K5" s="6">
        <v>22185.81</v>
      </c>
      <c r="L5" s="13">
        <f t="shared" si="0"/>
        <v>112355.78</v>
      </c>
    </row>
    <row r="6" spans="4:12" ht="15.75" thickBot="1" x14ac:dyDescent="0.3">
      <c r="D6" s="1" t="s">
        <v>9</v>
      </c>
      <c r="E6" s="6">
        <v>12336.96</v>
      </c>
      <c r="F6" s="6">
        <v>13612.27</v>
      </c>
      <c r="G6" s="6">
        <v>20774.43</v>
      </c>
      <c r="H6" s="6">
        <v>19614.150000000001</v>
      </c>
      <c r="I6" s="6">
        <v>13228.26</v>
      </c>
      <c r="J6" s="6">
        <v>21734.05</v>
      </c>
      <c r="K6" s="6">
        <v>22540.81</v>
      </c>
      <c r="L6" s="13">
        <f t="shared" si="0"/>
        <v>123840.93</v>
      </c>
    </row>
    <row r="7" spans="4:12" ht="15.75" thickBot="1" x14ac:dyDescent="0.3">
      <c r="D7" s="1" t="s">
        <v>10</v>
      </c>
      <c r="E7" s="6">
        <v>9401.7000000000007</v>
      </c>
      <c r="F7" s="6">
        <v>17741.53</v>
      </c>
      <c r="G7" s="6">
        <v>26051.74</v>
      </c>
      <c r="H7" s="6">
        <v>13505.25</v>
      </c>
      <c r="I7" s="6">
        <v>10926.25</v>
      </c>
      <c r="J7" s="6">
        <v>17236.650000000001</v>
      </c>
      <c r="K7" s="6">
        <v>14322.93</v>
      </c>
      <c r="L7" s="13">
        <f t="shared" si="0"/>
        <v>109186.04999999999</v>
      </c>
    </row>
    <row r="8" spans="4:12" ht="15.75" thickBot="1" x14ac:dyDescent="0.3">
      <c r="D8" s="1" t="s">
        <v>11</v>
      </c>
      <c r="E8" s="6">
        <v>19105.84</v>
      </c>
      <c r="F8" s="6">
        <v>19008.66</v>
      </c>
      <c r="G8" s="6">
        <v>21212.44</v>
      </c>
      <c r="H8" s="6">
        <v>17786.18</v>
      </c>
      <c r="I8" s="6">
        <v>16809.29</v>
      </c>
      <c r="J8" s="6">
        <v>19573.71</v>
      </c>
      <c r="K8" s="6">
        <v>21646.47</v>
      </c>
      <c r="L8" s="13">
        <f t="shared" si="0"/>
        <v>135142.59</v>
      </c>
    </row>
    <row r="9" spans="4:12" ht="15.75" thickBot="1" x14ac:dyDescent="0.3">
      <c r="D9" s="1" t="s">
        <v>12</v>
      </c>
      <c r="E9" s="6">
        <v>34630.07</v>
      </c>
      <c r="F9" s="6">
        <v>24887.91</v>
      </c>
      <c r="G9" s="6">
        <v>10703.01</v>
      </c>
      <c r="H9" s="6">
        <v>21277.33</v>
      </c>
      <c r="I9" s="6">
        <v>28169.439999999999</v>
      </c>
      <c r="J9" s="6">
        <v>31552.240000000002</v>
      </c>
      <c r="K9" s="6">
        <v>19396.13</v>
      </c>
      <c r="L9" s="13">
        <f t="shared" si="0"/>
        <v>170616.13</v>
      </c>
    </row>
    <row r="10" spans="4:12" ht="15.75" thickBot="1" x14ac:dyDescent="0.3">
      <c r="D10" s="1" t="s">
        <v>13</v>
      </c>
      <c r="E10" s="6">
        <v>14263.9</v>
      </c>
      <c r="F10" s="6">
        <v>16407.66</v>
      </c>
      <c r="G10" s="6">
        <v>18490.63</v>
      </c>
      <c r="H10" s="6">
        <v>6380.21</v>
      </c>
      <c r="I10" s="6">
        <v>8089.06</v>
      </c>
      <c r="J10" s="6">
        <v>17166.78</v>
      </c>
      <c r="K10" s="6">
        <v>4986.3999999999996</v>
      </c>
      <c r="L10" s="13">
        <f t="shared" si="0"/>
        <v>85784.639999999985</v>
      </c>
    </row>
    <row r="11" spans="4:12" ht="15.75" thickBot="1" x14ac:dyDescent="0.3">
      <c r="D11" s="1" t="s">
        <v>14</v>
      </c>
      <c r="E11" s="6">
        <v>14110.83</v>
      </c>
      <c r="F11" s="6">
        <v>10799.11</v>
      </c>
      <c r="G11" s="6">
        <v>8016.01</v>
      </c>
      <c r="H11" s="6">
        <v>14047.23</v>
      </c>
      <c r="I11" s="6">
        <v>10651.35</v>
      </c>
      <c r="J11" s="6">
        <v>13116.82</v>
      </c>
      <c r="K11" s="6">
        <v>15601.86</v>
      </c>
      <c r="L11" s="13">
        <f t="shared" si="0"/>
        <v>86343.21</v>
      </c>
    </row>
    <row r="12" spans="4:12" ht="13.5" customHeight="1" thickBot="1" x14ac:dyDescent="0.3">
      <c r="D12" s="1" t="s">
        <v>15</v>
      </c>
      <c r="E12" s="6">
        <v>11492.96</v>
      </c>
      <c r="F12" s="6">
        <v>14355.66</v>
      </c>
      <c r="G12" s="6">
        <v>12829.51</v>
      </c>
      <c r="H12" s="6">
        <v>3306.96</v>
      </c>
      <c r="I12" s="6">
        <v>11808.66</v>
      </c>
      <c r="J12" s="6">
        <v>2589.12</v>
      </c>
      <c r="K12" s="6">
        <v>12938.78</v>
      </c>
      <c r="L12" s="13">
        <f t="shared" si="0"/>
        <v>69321.650000000009</v>
      </c>
    </row>
    <row r="13" spans="4:12" ht="15.75" thickBot="1" x14ac:dyDescent="0.3">
      <c r="D13" s="1" t="s">
        <v>16</v>
      </c>
      <c r="E13" s="6">
        <v>15658.27</v>
      </c>
      <c r="F13" s="6">
        <v>6827.19</v>
      </c>
      <c r="G13" s="6">
        <v>21067.52</v>
      </c>
      <c r="H13" s="6">
        <v>12027.54</v>
      </c>
      <c r="I13" s="6">
        <v>8746.86</v>
      </c>
      <c r="J13" s="6">
        <v>15299.67</v>
      </c>
      <c r="K13" s="6">
        <v>10207.77</v>
      </c>
      <c r="L13" s="13">
        <f t="shared" si="0"/>
        <v>89834.82</v>
      </c>
    </row>
    <row r="14" spans="4:12" ht="15" customHeight="1" thickBot="1" x14ac:dyDescent="0.3">
      <c r="D14" s="1" t="s">
        <v>17</v>
      </c>
      <c r="E14" s="6">
        <v>17915.490000000002</v>
      </c>
      <c r="F14" s="6">
        <v>6414.43</v>
      </c>
      <c r="G14" s="6">
        <v>15771.14</v>
      </c>
      <c r="H14" s="6">
        <v>9205.43</v>
      </c>
      <c r="I14" s="6">
        <v>12895.31</v>
      </c>
      <c r="J14" s="6">
        <v>8371.94</v>
      </c>
      <c r="K14" s="6">
        <v>4919.6899999999996</v>
      </c>
      <c r="L14" s="13">
        <f t="shared" si="0"/>
        <v>75493.429999999993</v>
      </c>
    </row>
    <row r="15" spans="4:12" ht="15" customHeight="1" thickBot="1" x14ac:dyDescent="0.3">
      <c r="D15" s="1" t="s">
        <v>18</v>
      </c>
      <c r="E15" s="6">
        <v>10170.09</v>
      </c>
      <c r="F15" s="6">
        <v>10589.41</v>
      </c>
      <c r="G15" s="6">
        <v>6275.25</v>
      </c>
      <c r="H15" s="6">
        <v>19084.39</v>
      </c>
      <c r="I15" s="6">
        <v>4753.08</v>
      </c>
      <c r="J15" s="6">
        <v>12702.76</v>
      </c>
      <c r="K15" s="6">
        <v>18965.52</v>
      </c>
      <c r="L15" s="13">
        <f t="shared" si="0"/>
        <v>82540.5</v>
      </c>
    </row>
    <row r="16" spans="4:12" ht="15" customHeight="1" thickBot="1" x14ac:dyDescent="0.3">
      <c r="D16" s="14" t="s">
        <v>20</v>
      </c>
      <c r="E16" s="15">
        <f t="shared" ref="E16:L16" si="1">SUM(E4:E15)</f>
        <v>195611.10999999996</v>
      </c>
      <c r="F16" s="15">
        <f t="shared" si="1"/>
        <v>167459.93</v>
      </c>
      <c r="G16" s="15">
        <f t="shared" si="1"/>
        <v>192126.56</v>
      </c>
      <c r="H16" s="15">
        <f t="shared" si="1"/>
        <v>175473.41000000003</v>
      </c>
      <c r="I16" s="15">
        <f t="shared" si="1"/>
        <v>151722.38999999998</v>
      </c>
      <c r="J16" s="15">
        <f t="shared" si="1"/>
        <v>195612.61000000002</v>
      </c>
      <c r="K16" s="15">
        <f t="shared" si="1"/>
        <v>186568.94999999998</v>
      </c>
      <c r="L16" s="13">
        <f t="shared" si="1"/>
        <v>1264574.96</v>
      </c>
    </row>
    <row r="18" spans="8:14" ht="15.75" thickBot="1" x14ac:dyDescent="0.3"/>
    <row r="19" spans="8:14" ht="15.75" thickBot="1" x14ac:dyDescent="0.3">
      <c r="L19" s="1"/>
      <c r="M19" s="5"/>
      <c r="N19" s="1"/>
    </row>
    <row r="23" spans="8:14" x14ac:dyDescent="0.25">
      <c r="H23" s="7"/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0C035-769E-4F41-8207-C22A906624E6}">
  <dimension ref="D4:E11"/>
  <sheetViews>
    <sheetView zoomScale="104" workbookViewId="0">
      <selection activeCell="E23" sqref="E23"/>
    </sheetView>
  </sheetViews>
  <sheetFormatPr defaultRowHeight="15" x14ac:dyDescent="0.25"/>
  <cols>
    <col min="4" max="4" width="11.42578125" customWidth="1"/>
  </cols>
  <sheetData>
    <row r="4" spans="4:5" ht="14.25" customHeight="1" x14ac:dyDescent="0.25"/>
    <row r="5" spans="4:5" ht="15.75" customHeight="1" thickBot="1" x14ac:dyDescent="0.3"/>
    <row r="6" spans="4:5" ht="15.75" customHeight="1" thickBot="1" x14ac:dyDescent="0.3">
      <c r="D6" s="16" t="s">
        <v>21</v>
      </c>
      <c r="E6" s="6">
        <v>235</v>
      </c>
    </row>
    <row r="7" spans="4:5" ht="17.25" customHeight="1" thickBot="1" x14ac:dyDescent="0.3">
      <c r="D7" s="16" t="s">
        <v>22</v>
      </c>
      <c r="E7" s="6">
        <v>250</v>
      </c>
    </row>
    <row r="8" spans="4:5" ht="15" customHeight="1" thickBot="1" x14ac:dyDescent="0.3">
      <c r="D8" s="16" t="s">
        <v>23</v>
      </c>
      <c r="E8" s="6">
        <v>247</v>
      </c>
    </row>
    <row r="9" spans="4:5" ht="15.75" thickBot="1" x14ac:dyDescent="0.3">
      <c r="D9" s="16" t="s">
        <v>24</v>
      </c>
      <c r="E9" s="6">
        <v>231</v>
      </c>
    </row>
    <row r="10" spans="4:5" ht="15.75" thickBot="1" x14ac:dyDescent="0.3">
      <c r="D10" s="16" t="s">
        <v>25</v>
      </c>
      <c r="E10" s="6">
        <v>237</v>
      </c>
    </row>
    <row r="11" spans="4:5" ht="17.25" customHeight="1" x14ac:dyDescent="0.25">
      <c r="D11" s="2" t="s">
        <v>19</v>
      </c>
      <c r="E11" s="3">
        <f>SUM(E6:E10)</f>
        <v>1200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B828E-791B-45B1-A7FD-700449D6317A}">
  <dimension ref="E4:F11"/>
  <sheetViews>
    <sheetView workbookViewId="0">
      <selection activeCell="E16" sqref="E16"/>
    </sheetView>
  </sheetViews>
  <sheetFormatPr defaultRowHeight="15" x14ac:dyDescent="0.25"/>
  <cols>
    <col min="5" max="5" width="12.140625" customWidth="1"/>
  </cols>
  <sheetData>
    <row r="4" spans="5:6" ht="18" customHeight="1" x14ac:dyDescent="0.25"/>
    <row r="5" spans="5:6" ht="15.75" thickBot="1" x14ac:dyDescent="0.3"/>
    <row r="6" spans="5:6" ht="16.5" customHeight="1" thickBot="1" x14ac:dyDescent="0.3">
      <c r="E6" s="16" t="s">
        <v>26</v>
      </c>
      <c r="F6" s="6">
        <v>259</v>
      </c>
    </row>
    <row r="7" spans="5:6" ht="15.75" thickBot="1" x14ac:dyDescent="0.3">
      <c r="E7" s="16" t="s">
        <v>27</v>
      </c>
      <c r="F7" s="6">
        <v>222</v>
      </c>
    </row>
    <row r="8" spans="5:6" ht="15.75" thickBot="1" x14ac:dyDescent="0.3">
      <c r="E8" s="16" t="s">
        <v>28</v>
      </c>
      <c r="F8" s="6">
        <v>228</v>
      </c>
    </row>
    <row r="9" spans="5:6" ht="15.75" thickBot="1" x14ac:dyDescent="0.3">
      <c r="E9" s="16" t="s">
        <v>29</v>
      </c>
      <c r="F9" s="6">
        <v>250</v>
      </c>
    </row>
    <row r="10" spans="5:6" ht="15.75" thickBot="1" x14ac:dyDescent="0.3">
      <c r="E10" s="16" t="s">
        <v>30</v>
      </c>
      <c r="F10" s="6">
        <v>241</v>
      </c>
    </row>
    <row r="11" spans="5:6" ht="15" customHeight="1" x14ac:dyDescent="0.25">
      <c r="E11" s="2" t="s">
        <v>19</v>
      </c>
      <c r="F11" s="3">
        <f>SUM(F6:F10)</f>
        <v>1200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558E0-6936-4097-BEC5-FCAABD7B6A03}">
  <dimension ref="E4:F12"/>
  <sheetViews>
    <sheetView tabSelected="1" workbookViewId="0">
      <selection activeCell="E5" sqref="E5:F11"/>
    </sheetView>
  </sheetViews>
  <sheetFormatPr defaultRowHeight="15" x14ac:dyDescent="0.25"/>
  <cols>
    <col min="5" max="5" width="12" customWidth="1"/>
  </cols>
  <sheetData>
    <row r="4" spans="5:6" ht="15.75" thickBot="1" x14ac:dyDescent="0.3"/>
    <row r="5" spans="5:6" ht="15.75" thickBot="1" x14ac:dyDescent="0.3">
      <c r="E5" s="16" t="s">
        <v>0</v>
      </c>
      <c r="F5" s="6">
        <v>178</v>
      </c>
    </row>
    <row r="6" spans="5:6" ht="15.75" thickBot="1" x14ac:dyDescent="0.3">
      <c r="E6" s="16" t="s">
        <v>6</v>
      </c>
      <c r="F6" s="6">
        <v>179</v>
      </c>
    </row>
    <row r="7" spans="5:6" ht="15.75" thickBot="1" x14ac:dyDescent="0.3">
      <c r="E7" s="16" t="s">
        <v>4</v>
      </c>
      <c r="F7" s="6">
        <v>156</v>
      </c>
    </row>
    <row r="8" spans="5:6" ht="15.75" thickBot="1" x14ac:dyDescent="0.3">
      <c r="E8" s="16" t="s">
        <v>3</v>
      </c>
      <c r="F8" s="6">
        <v>163</v>
      </c>
    </row>
    <row r="9" spans="5:6" ht="15.75" thickBot="1" x14ac:dyDescent="0.3">
      <c r="E9" s="16" t="s">
        <v>5</v>
      </c>
      <c r="F9" s="6">
        <v>181</v>
      </c>
    </row>
    <row r="10" spans="5:6" ht="15.75" thickBot="1" x14ac:dyDescent="0.3">
      <c r="E10" s="16" t="s">
        <v>2</v>
      </c>
      <c r="F10" s="6">
        <v>173</v>
      </c>
    </row>
    <row r="11" spans="5:6" ht="15.75" thickBot="1" x14ac:dyDescent="0.3">
      <c r="E11" s="16" t="s">
        <v>1</v>
      </c>
      <c r="F11" s="6">
        <v>170</v>
      </c>
    </row>
    <row r="12" spans="5:6" ht="15.75" customHeight="1" x14ac:dyDescent="0.25">
      <c r="E12" s="2" t="s">
        <v>19</v>
      </c>
      <c r="F12" s="3">
        <f>SUM(F5:F11)</f>
        <v>1200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7CA6-BC97-4878-9773-47CBC05CA53F}">
  <dimension ref="E5:F11"/>
  <sheetViews>
    <sheetView workbookViewId="0">
      <selection activeCell="E6" sqref="E6:F10"/>
    </sheetView>
  </sheetViews>
  <sheetFormatPr defaultRowHeight="15" x14ac:dyDescent="0.25"/>
  <cols>
    <col min="5" max="5" width="11.5703125" customWidth="1"/>
  </cols>
  <sheetData>
    <row r="5" spans="5:6" ht="15" customHeight="1" thickBot="1" x14ac:dyDescent="0.3"/>
    <row r="6" spans="5:6" ht="15.75" customHeight="1" thickBot="1" x14ac:dyDescent="0.3">
      <c r="E6" s="16" t="s">
        <v>31</v>
      </c>
      <c r="F6" s="6">
        <v>258</v>
      </c>
    </row>
    <row r="7" spans="5:6" ht="16.5" customHeight="1" thickBot="1" x14ac:dyDescent="0.3">
      <c r="E7" s="16" t="s">
        <v>32</v>
      </c>
      <c r="F7" s="6">
        <v>246</v>
      </c>
    </row>
    <row r="8" spans="5:6" ht="16.5" customHeight="1" thickBot="1" x14ac:dyDescent="0.3">
      <c r="E8" s="16" t="s">
        <v>33</v>
      </c>
      <c r="F8" s="6">
        <v>234</v>
      </c>
    </row>
    <row r="9" spans="5:6" ht="15.75" thickBot="1" x14ac:dyDescent="0.3">
      <c r="E9" s="16" t="s">
        <v>34</v>
      </c>
      <c r="F9" s="6">
        <v>232</v>
      </c>
    </row>
    <row r="10" spans="5:6" ht="15.75" thickBot="1" x14ac:dyDescent="0.3">
      <c r="E10" s="16" t="s">
        <v>35</v>
      </c>
      <c r="F10" s="6">
        <v>230</v>
      </c>
    </row>
    <row r="11" spans="5:6" ht="15" customHeight="1" x14ac:dyDescent="0.25">
      <c r="E11" s="2" t="s">
        <v>19</v>
      </c>
      <c r="F11" s="3">
        <f>SUM(F6:F10)</f>
        <v>1200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D17CB-2C49-49DC-8FC5-815BF1ED1ED3}">
  <dimension ref="E3:F4"/>
  <sheetViews>
    <sheetView workbookViewId="0">
      <selection activeCell="F5" sqref="F5"/>
    </sheetView>
  </sheetViews>
  <sheetFormatPr defaultRowHeight="15" x14ac:dyDescent="0.25"/>
  <cols>
    <col min="5" max="5" width="14" customWidth="1"/>
  </cols>
  <sheetData>
    <row r="3" spans="5:6" ht="15.75" thickBot="1" x14ac:dyDescent="0.3"/>
    <row r="4" spans="5:6" ht="15" customHeight="1" thickBot="1" x14ac:dyDescent="0.3">
      <c r="E4" s="1" t="s">
        <v>36</v>
      </c>
      <c r="F4" s="3">
        <v>1264575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67DD8-54EB-4710-99DD-2660DEF14758}">
  <dimension ref="D2:N8"/>
  <sheetViews>
    <sheetView showGridLines="0" zoomScale="68" workbookViewId="0">
      <selection activeCell="R8" sqref="R8"/>
    </sheetView>
  </sheetViews>
  <sheetFormatPr defaultRowHeight="15" x14ac:dyDescent="0.25"/>
  <sheetData>
    <row r="2" spans="4:14" ht="15" customHeight="1" x14ac:dyDescent="0.25">
      <c r="G2" s="12" t="s">
        <v>37</v>
      </c>
      <c r="H2" s="12"/>
      <c r="I2" s="12"/>
      <c r="J2" s="12"/>
      <c r="K2" s="12"/>
      <c r="L2" s="12"/>
    </row>
    <row r="3" spans="4:14" x14ac:dyDescent="0.25">
      <c r="G3" s="12"/>
      <c r="H3" s="12"/>
      <c r="I3" s="12"/>
      <c r="J3" s="12"/>
      <c r="K3" s="12"/>
      <c r="L3" s="12"/>
    </row>
    <row r="4" spans="4:14" x14ac:dyDescent="0.25">
      <c r="G4" s="12"/>
      <c r="H4" s="12"/>
      <c r="I4" s="12"/>
      <c r="J4" s="12"/>
      <c r="K4" s="12"/>
      <c r="L4" s="12"/>
    </row>
    <row r="5" spans="4:14" x14ac:dyDescent="0.25">
      <c r="D5" s="4"/>
    </row>
    <row r="6" spans="4:14" ht="15" customHeight="1" x14ac:dyDescent="0.25">
      <c r="D6" s="8" t="s">
        <v>38</v>
      </c>
      <c r="E6" s="9"/>
      <c r="F6" s="9"/>
      <c r="G6" s="9"/>
      <c r="H6" s="9"/>
      <c r="J6" s="10" t="s">
        <v>39</v>
      </c>
      <c r="K6" s="11"/>
      <c r="L6" s="11"/>
      <c r="M6" s="11"/>
      <c r="N6" s="11"/>
    </row>
    <row r="7" spans="4:14" ht="15" customHeight="1" x14ac:dyDescent="0.25">
      <c r="D7" s="9"/>
      <c r="E7" s="9"/>
      <c r="F7" s="9"/>
      <c r="G7" s="9"/>
      <c r="H7" s="9"/>
      <c r="J7" s="11"/>
      <c r="K7" s="11"/>
      <c r="L7" s="11"/>
      <c r="M7" s="11"/>
      <c r="N7" s="11"/>
    </row>
    <row r="8" spans="4:14" ht="15" customHeight="1" x14ac:dyDescent="0.25">
      <c r="D8" s="9"/>
      <c r="E8" s="9"/>
      <c r="F8" s="9"/>
      <c r="G8" s="9"/>
      <c r="H8" s="9"/>
      <c r="J8" s="11"/>
      <c r="K8" s="11"/>
      <c r="L8" s="11"/>
      <c r="M8" s="11"/>
      <c r="N8" s="11"/>
    </row>
  </sheetData>
  <mergeCells count="3">
    <mergeCell ref="D6:H8"/>
    <mergeCell ref="J6:N8"/>
    <mergeCell ref="G2:L4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 Trend</vt:lpstr>
      <vt:lpstr>Order Status</vt:lpstr>
      <vt:lpstr>Referral Source</vt:lpstr>
      <vt:lpstr>Product</vt:lpstr>
      <vt:lpstr>Payment Method</vt:lpstr>
      <vt:lpstr>Total Sales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2026-10-05T08:05:15Z</dcterms:created>
  <dcterms:modified xsi:type="dcterms:W3CDTF">2026-10-05T09:05:55Z</dcterms:modified>
</cp:coreProperties>
</file>