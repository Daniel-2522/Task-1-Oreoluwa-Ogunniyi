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0698129-CB5C-45F7-8D64-41A7D314BFE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sic statistics" sheetId="1" r:id="rId1"/>
    <sheet name="Trends" sheetId="4" r:id="rId2"/>
    <sheet name="Summary" sheetId="6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4" l="1"/>
  <c r="D16" i="1"/>
  <c r="I19" i="4"/>
  <c r="J18" i="4"/>
  <c r="J17" i="4"/>
  <c r="J16" i="4"/>
  <c r="J15" i="4"/>
  <c r="J14" i="4"/>
  <c r="J13" i="4"/>
  <c r="J12" i="4"/>
  <c r="J11" i="4"/>
  <c r="J10" i="4"/>
  <c r="J9" i="4"/>
  <c r="J8" i="4"/>
  <c r="J7" i="4"/>
  <c r="H19" i="4"/>
  <c r="G19" i="4"/>
  <c r="F19" i="4"/>
  <c r="E19" i="4"/>
  <c r="D19" i="4"/>
  <c r="C19" i="4"/>
  <c r="J19" i="4" l="1"/>
</calcChain>
</file>

<file path=xl/sharedStrings.xml><?xml version="1.0" encoding="utf-8"?>
<sst xmlns="http://schemas.openxmlformats.org/spreadsheetml/2006/main" count="47" uniqueCount="39">
  <si>
    <t>MEAN</t>
  </si>
  <si>
    <t xml:space="preserve">MEDIAN </t>
  </si>
  <si>
    <t>COUNT</t>
  </si>
  <si>
    <t>chair</t>
  </si>
  <si>
    <t>Desk</t>
  </si>
  <si>
    <t>Laptop</t>
  </si>
  <si>
    <t>Monitor</t>
  </si>
  <si>
    <t>Phone</t>
  </si>
  <si>
    <t>Printer</t>
  </si>
  <si>
    <t>Tablet</t>
  </si>
  <si>
    <t>Chair</t>
  </si>
  <si>
    <t>TRENDS</t>
  </si>
  <si>
    <t>Cancelled</t>
  </si>
  <si>
    <t>Delivered</t>
  </si>
  <si>
    <t>Pending</t>
  </si>
  <si>
    <t>Returned</t>
  </si>
  <si>
    <t>Shipped</t>
  </si>
  <si>
    <t>SUMMARY</t>
  </si>
  <si>
    <r>
      <rPr>
        <b/>
        <sz val="11"/>
        <color indexed="8"/>
        <rFont val="Calibri"/>
        <family val="2"/>
      </rPr>
      <t>Chair</t>
    </r>
    <r>
      <rPr>
        <sz val="11"/>
        <color theme="1"/>
        <rFont val="Calibri"/>
        <family val="2"/>
        <scheme val="minor"/>
      </rPr>
      <t xml:space="preserve"> had the highest revenue with total price of 195620.11.  </t>
    </r>
  </si>
  <si>
    <r>
      <rPr>
        <b/>
        <sz val="11"/>
        <color indexed="8"/>
        <rFont val="Calibri"/>
        <family val="2"/>
      </rPr>
      <t>June</t>
    </r>
    <r>
      <rPr>
        <sz val="11"/>
        <color theme="1"/>
        <rFont val="Calibri"/>
        <family val="2"/>
        <scheme val="minor"/>
      </rPr>
      <t xml:space="preserve"> had the highest sales with a total of 170616.13.</t>
    </r>
  </si>
  <si>
    <r>
      <rPr>
        <b/>
        <sz val="11"/>
        <color indexed="8"/>
        <rFont val="Calibri"/>
        <family val="2"/>
      </rPr>
      <t>Instagram</t>
    </r>
    <r>
      <rPr>
        <sz val="11"/>
        <color theme="1"/>
        <rFont val="Calibri"/>
        <family val="2"/>
        <scheme val="minor"/>
      </rPr>
      <t xml:space="preserve"> had the highest referral with a total of 770 referrals.</t>
    </r>
  </si>
  <si>
    <r>
      <rPr>
        <b/>
        <sz val="11"/>
        <color indexed="8"/>
        <rFont val="Calibri"/>
        <family val="2"/>
      </rPr>
      <t>Cancelled</t>
    </r>
    <r>
      <rPr>
        <sz val="11"/>
        <color theme="1"/>
        <rFont val="Calibri"/>
        <family val="2"/>
        <scheme val="minor"/>
      </rPr>
      <t xml:space="preserve"> orders are 759 which is 21.47 and also the highest.</t>
    </r>
  </si>
  <si>
    <t>TOTAL</t>
  </si>
  <si>
    <r>
      <rPr>
        <b/>
        <sz val="11"/>
        <color theme="1"/>
        <rFont val="Calibri"/>
        <family val="2"/>
        <scheme val="minor"/>
      </rPr>
      <t xml:space="preserve">Total Sales </t>
    </r>
    <r>
      <rPr>
        <sz val="11"/>
        <color theme="1"/>
        <rFont val="Calibri"/>
        <family val="2"/>
        <scheme val="minor"/>
      </rPr>
      <t>is 1264574.96</t>
    </r>
  </si>
  <si>
    <t>Order Status</t>
  </si>
  <si>
    <t>Sales Trend</t>
  </si>
  <si>
    <t>Total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</si>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</sst>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0" xfId="0" applyFont="1"/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0" xfId="0" applyAlignment="1"/>
    <xf numFmtId="0" fontId="0" fillId="0" borderId="0" xfId="0" applyAlignment="1">
      <alignment horizontal="left"/>
    </xf>
    <xf numFmtId="0" fontId="8" fillId="0" borderId="0" xfId="0" applyFont="1" applyAlignment="1"/>
    <xf numFmtId="0" fontId="7" fillId="0" borderId="2" xfId="0" applyFont="1" applyFill="1" applyBorder="1" applyAlignment="1">
      <alignment horizontal="left" vertical="top" wrapText="1"/>
    </xf>
    <xf numFmtId="0" fontId="2" fillId="0" borderId="0" xfId="0" applyFont="1" applyAlignment="1"/>
    <xf numFmtId="0" fontId="4" fillId="0" borderId="2" xfId="0" applyFont="1" applyFill="1" applyBorder="1" applyAlignment="1">
      <alignment wrapText="1"/>
    </xf>
    <xf numFmtId="0" fontId="7" fillId="0" borderId="2" xfId="0" applyFont="1" applyFill="1" applyBorder="1" applyAlignment="1">
      <alignment wrapText="1"/>
    </xf>
    <xf numFmtId="0" fontId="2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D16"/>
  <sheetViews>
    <sheetView workbookViewId="0">
      <selection activeCell="H16" sqref="H16"/>
    </sheetView>
  </sheetViews>
  <sheetFormatPr defaultRowHeight="15" x14ac:dyDescent="0.25"/>
  <sheetData>
    <row r="2" spans="3:4" ht="15.75" thickBot="1" x14ac:dyDescent="0.3"/>
    <row r="3" spans="3:4" ht="15.75" thickBot="1" x14ac:dyDescent="0.3">
      <c r="C3" s="4" t="s">
        <v>0</v>
      </c>
      <c r="D3" s="2">
        <v>1053.9683</v>
      </c>
    </row>
    <row r="4" spans="3:4" ht="15.75" thickBot="1" x14ac:dyDescent="0.3">
      <c r="C4" s="1"/>
      <c r="D4" s="1"/>
    </row>
    <row r="5" spans="3:4" ht="15.75" thickBot="1" x14ac:dyDescent="0.3">
      <c r="C5" s="4" t="s">
        <v>1</v>
      </c>
      <c r="D5" s="2">
        <v>823.61500000000001</v>
      </c>
    </row>
    <row r="6" spans="3:4" ht="15.75" thickBot="1" x14ac:dyDescent="0.3">
      <c r="C6" s="1"/>
      <c r="D6" s="1"/>
    </row>
    <row r="7" spans="3:4" ht="15.75" thickBot="1" x14ac:dyDescent="0.3"/>
    <row r="8" spans="3:4" ht="15.75" thickBot="1" x14ac:dyDescent="0.3">
      <c r="C8" s="5" t="s">
        <v>2</v>
      </c>
      <c r="D8" s="1"/>
    </row>
    <row r="9" spans="3:4" ht="15.75" thickBot="1" x14ac:dyDescent="0.3">
      <c r="C9" s="1" t="s">
        <v>3</v>
      </c>
      <c r="D9" s="2">
        <v>562</v>
      </c>
    </row>
    <row r="10" spans="3:4" ht="15.75" thickBot="1" x14ac:dyDescent="0.3">
      <c r="C10" s="1" t="s">
        <v>4</v>
      </c>
      <c r="D10" s="2">
        <v>508</v>
      </c>
    </row>
    <row r="11" spans="3:4" ht="15.75" thickBot="1" x14ac:dyDescent="0.3">
      <c r="C11" s="1" t="s">
        <v>5</v>
      </c>
      <c r="D11" s="2">
        <v>535</v>
      </c>
    </row>
    <row r="12" spans="3:4" ht="15.75" thickBot="1" x14ac:dyDescent="0.3">
      <c r="C12" s="1" t="s">
        <v>6</v>
      </c>
      <c r="D12" s="2">
        <v>480</v>
      </c>
    </row>
    <row r="13" spans="3:4" ht="15.75" thickBot="1" x14ac:dyDescent="0.3">
      <c r="C13" s="1" t="s">
        <v>7</v>
      </c>
      <c r="D13" s="2">
        <v>411</v>
      </c>
    </row>
    <row r="14" spans="3:4" ht="15.75" thickBot="1" x14ac:dyDescent="0.3">
      <c r="C14" s="1" t="s">
        <v>8</v>
      </c>
      <c r="D14" s="2">
        <v>542</v>
      </c>
    </row>
    <row r="15" spans="3:4" ht="15.75" thickBot="1" x14ac:dyDescent="0.3">
      <c r="C15" s="1" t="s">
        <v>9</v>
      </c>
      <c r="D15" s="2">
        <v>497</v>
      </c>
    </row>
    <row r="16" spans="3:4" x14ac:dyDescent="0.25">
      <c r="C16" s="12" t="s">
        <v>26</v>
      </c>
      <c r="D16" s="14">
        <f>SUM(D9:D15)</f>
        <v>3535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26"/>
  <sheetViews>
    <sheetView tabSelected="1" topLeftCell="A3" workbookViewId="0">
      <selection activeCell="D23" sqref="D23"/>
    </sheetView>
  </sheetViews>
  <sheetFormatPr defaultRowHeight="15" x14ac:dyDescent="0.25"/>
  <cols>
    <col min="2" max="2" width="13.140625" customWidth="1"/>
    <col min="3" max="3" width="9.85546875" customWidth="1"/>
    <col min="4" max="5" width="10" customWidth="1"/>
    <col min="6" max="6" width="10.5703125" customWidth="1"/>
    <col min="7" max="9" width="10" customWidth="1"/>
    <col min="10" max="10" width="10.7109375" customWidth="1"/>
  </cols>
  <sheetData>
    <row r="3" spans="2:15" ht="27" customHeight="1" x14ac:dyDescent="0.5">
      <c r="E3" s="11"/>
      <c r="F3" s="7"/>
      <c r="I3" s="15" t="s">
        <v>11</v>
      </c>
      <c r="J3" s="16"/>
    </row>
    <row r="4" spans="2:15" ht="15.75" x14ac:dyDescent="0.25">
      <c r="E4" s="18" t="s">
        <v>25</v>
      </c>
      <c r="F4" s="16"/>
    </row>
    <row r="5" spans="2:15" ht="15.75" thickBot="1" x14ac:dyDescent="0.3">
      <c r="N5" s="17" t="s">
        <v>24</v>
      </c>
      <c r="O5" s="16"/>
    </row>
    <row r="6" spans="2:15" ht="15.75" thickBot="1" x14ac:dyDescent="0.3">
      <c r="B6" s="1"/>
      <c r="C6" s="4" t="s">
        <v>10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10" t="s">
        <v>22</v>
      </c>
      <c r="N6" s="6" t="s">
        <v>12</v>
      </c>
      <c r="O6" s="2">
        <v>759</v>
      </c>
    </row>
    <row r="7" spans="2:15" ht="17.25" customHeight="1" thickBot="1" x14ac:dyDescent="0.3">
      <c r="B7" s="4" t="s">
        <v>27</v>
      </c>
      <c r="C7" s="2">
        <v>24310.66</v>
      </c>
      <c r="D7" s="2">
        <v>5360.04</v>
      </c>
      <c r="E7" s="2">
        <v>19760.84</v>
      </c>
      <c r="F7" s="2">
        <v>23493.05</v>
      </c>
      <c r="G7" s="2">
        <v>16557.22</v>
      </c>
      <c r="H7" s="2">
        <v>15776.64</v>
      </c>
      <c r="I7" s="2">
        <v>18856.78</v>
      </c>
      <c r="J7">
        <f t="shared" ref="J7:J18" si="0">SUM(C7:I7)</f>
        <v>124115.23</v>
      </c>
      <c r="N7" s="6" t="s">
        <v>13</v>
      </c>
      <c r="O7" s="2">
        <v>690</v>
      </c>
    </row>
    <row r="8" spans="2:15" ht="16.5" customHeight="1" thickBot="1" x14ac:dyDescent="0.3">
      <c r="B8" s="4" t="s">
        <v>28</v>
      </c>
      <c r="C8" s="2">
        <v>12214.34</v>
      </c>
      <c r="D8" s="2">
        <v>21456.06</v>
      </c>
      <c r="E8" s="2">
        <v>11174.04</v>
      </c>
      <c r="F8" s="2">
        <v>15745.69</v>
      </c>
      <c r="G8" s="2">
        <v>9087.61</v>
      </c>
      <c r="H8" s="2">
        <v>20492.23</v>
      </c>
      <c r="I8" s="2">
        <v>22185.81</v>
      </c>
      <c r="J8">
        <f t="shared" si="0"/>
        <v>112355.78</v>
      </c>
      <c r="N8" s="6" t="s">
        <v>14</v>
      </c>
      <c r="O8" s="2">
        <v>724</v>
      </c>
    </row>
    <row r="9" spans="2:15" ht="15.75" thickBot="1" x14ac:dyDescent="0.3">
      <c r="B9" s="4" t="s">
        <v>29</v>
      </c>
      <c r="C9" s="2">
        <v>12336.96</v>
      </c>
      <c r="D9" s="2">
        <v>13612.27</v>
      </c>
      <c r="E9" s="2">
        <v>20774.43</v>
      </c>
      <c r="F9" s="2">
        <v>19614.150000000001</v>
      </c>
      <c r="G9" s="2">
        <v>13228.26</v>
      </c>
      <c r="H9" s="2">
        <v>21734.05</v>
      </c>
      <c r="I9" s="2">
        <v>22540.81</v>
      </c>
      <c r="J9">
        <f t="shared" si="0"/>
        <v>123840.93</v>
      </c>
      <c r="N9" s="6" t="s">
        <v>15</v>
      </c>
      <c r="O9" s="2">
        <v>682</v>
      </c>
    </row>
    <row r="10" spans="2:15" ht="15.75" thickBot="1" x14ac:dyDescent="0.3">
      <c r="B10" s="4" t="s">
        <v>30</v>
      </c>
      <c r="C10" s="2">
        <v>9401.7000000000007</v>
      </c>
      <c r="D10" s="2">
        <v>17741.53</v>
      </c>
      <c r="E10" s="2">
        <v>26051.74</v>
      </c>
      <c r="F10" s="2">
        <v>13505.25</v>
      </c>
      <c r="G10" s="2">
        <v>10926.25</v>
      </c>
      <c r="H10" s="2">
        <v>17236.650000000001</v>
      </c>
      <c r="I10" s="2">
        <v>14322.93</v>
      </c>
      <c r="J10">
        <f t="shared" si="0"/>
        <v>109186.04999999999</v>
      </c>
      <c r="N10" s="6" t="s">
        <v>16</v>
      </c>
      <c r="O10" s="2">
        <v>680</v>
      </c>
    </row>
    <row r="11" spans="2:15" ht="15.75" thickBot="1" x14ac:dyDescent="0.3">
      <c r="B11" s="4" t="s">
        <v>31</v>
      </c>
      <c r="C11" s="2">
        <v>19105.84</v>
      </c>
      <c r="D11" s="2">
        <v>19008.66</v>
      </c>
      <c r="E11" s="2">
        <v>21212.44</v>
      </c>
      <c r="F11" s="2">
        <v>17786.18</v>
      </c>
      <c r="G11" s="2">
        <v>16809.29</v>
      </c>
      <c r="H11" s="2">
        <v>19573.71</v>
      </c>
      <c r="I11" s="2">
        <v>21646.47</v>
      </c>
      <c r="J11">
        <f t="shared" si="0"/>
        <v>135142.59</v>
      </c>
      <c r="N11" s="13" t="s">
        <v>26</v>
      </c>
      <c r="O11">
        <f>SUM(O6:O10)</f>
        <v>3535</v>
      </c>
    </row>
    <row r="12" spans="2:15" ht="15.75" thickBot="1" x14ac:dyDescent="0.3">
      <c r="B12" s="4" t="s">
        <v>32</v>
      </c>
      <c r="C12" s="2">
        <v>34630.07</v>
      </c>
      <c r="D12" s="2">
        <v>24887.91</v>
      </c>
      <c r="E12" s="2">
        <v>10703.01</v>
      </c>
      <c r="F12" s="2">
        <v>21277.33</v>
      </c>
      <c r="G12" s="2">
        <v>28169.439999999999</v>
      </c>
      <c r="H12" s="2">
        <v>31552.240000000002</v>
      </c>
      <c r="I12" s="2">
        <v>19396.13</v>
      </c>
      <c r="J12">
        <f t="shared" si="0"/>
        <v>170616.13</v>
      </c>
    </row>
    <row r="13" spans="2:15" ht="15.75" thickBot="1" x14ac:dyDescent="0.3">
      <c r="B13" s="4" t="s">
        <v>33</v>
      </c>
      <c r="C13" s="2">
        <v>14263.9</v>
      </c>
      <c r="D13" s="2">
        <v>16407.66</v>
      </c>
      <c r="E13" s="2">
        <v>18490.63</v>
      </c>
      <c r="F13" s="2">
        <v>6380.21</v>
      </c>
      <c r="G13" s="2">
        <v>8089.06</v>
      </c>
      <c r="H13" s="2">
        <v>17166.78</v>
      </c>
      <c r="I13" s="2">
        <v>4986.3999999999996</v>
      </c>
      <c r="J13">
        <f t="shared" si="0"/>
        <v>85784.639999999985</v>
      </c>
    </row>
    <row r="14" spans="2:15" ht="15.75" thickBot="1" x14ac:dyDescent="0.3">
      <c r="B14" s="4" t="s">
        <v>34</v>
      </c>
      <c r="C14" s="2">
        <v>14110.83</v>
      </c>
      <c r="D14" s="2">
        <v>10799.11</v>
      </c>
      <c r="E14" s="2">
        <v>8016.01</v>
      </c>
      <c r="F14" s="2">
        <v>14047.23</v>
      </c>
      <c r="G14" s="2">
        <v>10651.35</v>
      </c>
      <c r="H14" s="2">
        <v>13116.82</v>
      </c>
      <c r="I14" s="2">
        <v>15601.86</v>
      </c>
      <c r="J14">
        <f t="shared" si="0"/>
        <v>86343.21</v>
      </c>
    </row>
    <row r="15" spans="2:15" ht="17.25" customHeight="1" thickBot="1" x14ac:dyDescent="0.3">
      <c r="B15" s="4" t="s">
        <v>35</v>
      </c>
      <c r="C15" s="2">
        <v>11492.96</v>
      </c>
      <c r="D15" s="2">
        <v>14355.66</v>
      </c>
      <c r="E15" s="2">
        <v>12829.51</v>
      </c>
      <c r="F15" s="2">
        <v>3306.96</v>
      </c>
      <c r="G15" s="2">
        <v>11808.66</v>
      </c>
      <c r="H15" s="2">
        <v>2589.12</v>
      </c>
      <c r="I15" s="2">
        <v>12938.78</v>
      </c>
      <c r="J15">
        <f t="shared" si="0"/>
        <v>69321.650000000009</v>
      </c>
    </row>
    <row r="16" spans="2:15" ht="17.25" customHeight="1" thickBot="1" x14ac:dyDescent="0.3">
      <c r="B16" s="4" t="s">
        <v>36</v>
      </c>
      <c r="C16" s="2">
        <v>15658.27</v>
      </c>
      <c r="D16" s="2">
        <v>6827.19</v>
      </c>
      <c r="E16" s="2">
        <v>21067.52</v>
      </c>
      <c r="F16" s="2">
        <v>12027.54</v>
      </c>
      <c r="G16" s="2">
        <v>8746.86</v>
      </c>
      <c r="H16" s="2">
        <v>15299.67</v>
      </c>
      <c r="I16" s="2">
        <v>10207.77</v>
      </c>
      <c r="J16">
        <f t="shared" si="0"/>
        <v>89834.82</v>
      </c>
    </row>
    <row r="17" spans="2:14" ht="16.5" customHeight="1" thickBot="1" x14ac:dyDescent="0.3">
      <c r="B17" s="4" t="s">
        <v>37</v>
      </c>
      <c r="C17" s="2">
        <v>17915.490000000002</v>
      </c>
      <c r="D17" s="2">
        <v>6414.43</v>
      </c>
      <c r="E17" s="2">
        <v>15771.14</v>
      </c>
      <c r="F17" s="2">
        <v>9205.43</v>
      </c>
      <c r="G17" s="2">
        <v>12895.31</v>
      </c>
      <c r="H17" s="2">
        <v>8371.94</v>
      </c>
      <c r="I17" s="2">
        <v>4919.6899999999996</v>
      </c>
      <c r="J17">
        <f t="shared" si="0"/>
        <v>75493.429999999993</v>
      </c>
    </row>
    <row r="18" spans="2:14" ht="15.75" customHeight="1" thickBot="1" x14ac:dyDescent="0.3">
      <c r="B18" s="4" t="s">
        <v>38</v>
      </c>
      <c r="C18" s="2">
        <v>10170.09</v>
      </c>
      <c r="D18" s="2">
        <v>10589.41</v>
      </c>
      <c r="E18" s="2">
        <v>6275.25</v>
      </c>
      <c r="F18" s="2">
        <v>19084.39</v>
      </c>
      <c r="G18" s="2">
        <v>4753.08</v>
      </c>
      <c r="H18" s="2">
        <v>12702.76</v>
      </c>
      <c r="I18" s="2">
        <v>18965.52</v>
      </c>
      <c r="J18">
        <f t="shared" si="0"/>
        <v>82540.5</v>
      </c>
    </row>
    <row r="19" spans="2:14" x14ac:dyDescent="0.25">
      <c r="B19" s="10" t="s">
        <v>22</v>
      </c>
      <c r="C19">
        <f t="shared" ref="C19:J19" si="1">SUM(C7:C18)</f>
        <v>195611.10999999996</v>
      </c>
      <c r="D19">
        <f t="shared" si="1"/>
        <v>167459.93</v>
      </c>
      <c r="E19">
        <f t="shared" si="1"/>
        <v>192126.56</v>
      </c>
      <c r="F19">
        <f t="shared" si="1"/>
        <v>175473.41000000003</v>
      </c>
      <c r="G19">
        <f t="shared" si="1"/>
        <v>151722.38999999998</v>
      </c>
      <c r="H19">
        <f t="shared" si="1"/>
        <v>195612.61000000002</v>
      </c>
      <c r="I19">
        <f t="shared" si="1"/>
        <v>186568.94999999998</v>
      </c>
      <c r="J19">
        <f t="shared" si="1"/>
        <v>1264574.96</v>
      </c>
    </row>
    <row r="20" spans="2:14" x14ac:dyDescent="0.25">
      <c r="C20" s="3"/>
    </row>
    <row r="21" spans="2:14" ht="15" customHeight="1" x14ac:dyDescent="0.4">
      <c r="H21" s="9"/>
      <c r="I21" s="7"/>
    </row>
    <row r="22" spans="2:14" x14ac:dyDescent="0.25">
      <c r="F22" s="7"/>
      <c r="G22" s="7"/>
      <c r="H22" s="7"/>
      <c r="I22" s="7"/>
      <c r="J22" s="3"/>
      <c r="K22" s="7"/>
      <c r="L22" s="7"/>
      <c r="N22" s="7"/>
    </row>
    <row r="23" spans="2:14" x14ac:dyDescent="0.25">
      <c r="F23" s="7"/>
      <c r="G23" s="7"/>
      <c r="H23" s="7"/>
      <c r="I23" s="7"/>
      <c r="J23" s="7"/>
      <c r="K23" s="7"/>
      <c r="M23" s="7"/>
      <c r="N23" s="7"/>
    </row>
    <row r="24" spans="2:14" x14ac:dyDescent="0.25">
      <c r="F24" s="7"/>
      <c r="G24" s="7"/>
      <c r="H24" s="7"/>
      <c r="I24" s="7"/>
      <c r="J24" s="7"/>
      <c r="K24" s="7"/>
      <c r="L24" s="7"/>
      <c r="M24" s="7"/>
      <c r="N24" s="7"/>
    </row>
    <row r="25" spans="2:14" x14ac:dyDescent="0.25">
      <c r="F25" s="7"/>
      <c r="G25" s="7"/>
      <c r="H25" s="7"/>
      <c r="I25" s="7"/>
      <c r="J25" s="7"/>
      <c r="K25" s="7"/>
      <c r="L25" s="7"/>
      <c r="M25" s="7"/>
      <c r="N25" s="7"/>
    </row>
    <row r="26" spans="2:14" x14ac:dyDescent="0.25">
      <c r="G26" s="7"/>
      <c r="H26" s="7"/>
      <c r="I26" s="7"/>
      <c r="J26" s="7"/>
      <c r="K26" s="7"/>
      <c r="L26" s="7"/>
      <c r="M26" s="7"/>
      <c r="N26" s="7"/>
    </row>
  </sheetData>
  <mergeCells count="3">
    <mergeCell ref="I3:J3"/>
    <mergeCell ref="N5:O5"/>
    <mergeCell ref="E4:F4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K12"/>
  <sheetViews>
    <sheetView workbookViewId="0">
      <selection activeCell="H18" sqref="H18"/>
    </sheetView>
  </sheetViews>
  <sheetFormatPr defaultRowHeight="15" x14ac:dyDescent="0.25"/>
  <sheetData>
    <row r="6" spans="5:11" ht="26.25" x14ac:dyDescent="0.4">
      <c r="G6" s="19" t="s">
        <v>17</v>
      </c>
      <c r="H6" s="16"/>
    </row>
    <row r="7" spans="5:11" x14ac:dyDescent="0.25">
      <c r="E7" s="16" t="s">
        <v>23</v>
      </c>
      <c r="F7" s="16"/>
      <c r="G7" s="16"/>
      <c r="H7" s="16"/>
      <c r="I7" s="16"/>
      <c r="J7" s="16"/>
    </row>
    <row r="8" spans="5:11" x14ac:dyDescent="0.25">
      <c r="E8" s="7" t="s">
        <v>18</v>
      </c>
      <c r="F8" s="7"/>
      <c r="G8" s="7"/>
      <c r="H8" s="7"/>
      <c r="I8" s="7"/>
      <c r="J8" s="7"/>
      <c r="K8" s="7"/>
    </row>
    <row r="9" spans="5:11" x14ac:dyDescent="0.25">
      <c r="E9" s="7" t="s">
        <v>19</v>
      </c>
      <c r="F9" s="7"/>
      <c r="G9" s="7"/>
      <c r="H9" s="7"/>
      <c r="I9" s="7"/>
      <c r="J9" s="7"/>
    </row>
    <row r="10" spans="5:11" x14ac:dyDescent="0.25">
      <c r="E10" s="7" t="s">
        <v>20</v>
      </c>
      <c r="F10" s="7"/>
      <c r="G10" s="7"/>
      <c r="H10" s="7"/>
      <c r="I10" s="7"/>
      <c r="J10" s="7"/>
      <c r="K10" s="7"/>
    </row>
    <row r="11" spans="5:11" x14ac:dyDescent="0.25">
      <c r="E11" s="8" t="s">
        <v>21</v>
      </c>
      <c r="F11" s="8"/>
      <c r="G11" s="8"/>
      <c r="H11" s="8"/>
      <c r="I11" s="8"/>
      <c r="J11" s="8"/>
      <c r="K11" s="7"/>
    </row>
    <row r="12" spans="5:11" x14ac:dyDescent="0.25">
      <c r="F12" s="7"/>
      <c r="G12" s="7"/>
      <c r="H12" s="7"/>
      <c r="I12" s="7"/>
      <c r="J12" s="7"/>
      <c r="K12" s="7"/>
    </row>
  </sheetData>
  <mergeCells count="2">
    <mergeCell ref="G6:H6"/>
    <mergeCell ref="E7:J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statistics</vt:lpstr>
      <vt:lpstr>Trends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2026-10-05T08:00:51Z</cp:lastPrinted>
  <dcterms:created xsi:type="dcterms:W3CDTF">2026-09-29T09:26:37Z</dcterms:created>
  <dcterms:modified xsi:type="dcterms:W3CDTF">2026-10-05T09:07:46Z</dcterms:modified>
</cp:coreProperties>
</file>